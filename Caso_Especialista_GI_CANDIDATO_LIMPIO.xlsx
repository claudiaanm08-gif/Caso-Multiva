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Limpios" sheetId="1" state="visible" r:id="rId1"/>
    <sheet xmlns:r="http://schemas.openxmlformats.org/officeDocument/2006/relationships" name="Problemas_Detectados" sheetId="2" state="visible" r:id="rId2"/>
    <sheet xmlns:r="http://schemas.openxmlformats.org/officeDocument/2006/relationships" name="Perfilado_Origen" sheetId="3" state="visible" r:id="rId3"/>
    <sheet xmlns:r="http://schemas.openxmlformats.org/officeDocument/2006/relationships" name="Conciliacion" sheetId="4" state="visible" r:id="rId4"/>
    <sheet xmlns:r="http://schemas.openxmlformats.org/officeDocument/2006/relationships" name="Analisi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ID_Operacion</t>
        </is>
      </c>
      <c r="B1" s="1" t="inlineStr">
        <is>
          <t>Fecha</t>
        </is>
      </c>
      <c r="C1" s="1" t="inlineStr">
        <is>
          <t>Región</t>
        </is>
      </c>
      <c r="D1" s="1" t="inlineStr">
        <is>
          <t>Sucursal</t>
        </is>
      </c>
      <c r="E1" s="1" t="inlineStr">
        <is>
          <t>Ejecutivo</t>
        </is>
      </c>
      <c r="F1" s="1" t="inlineStr">
        <is>
          <t>Segmento</t>
        </is>
      </c>
      <c r="G1" s="1" t="inlineStr">
        <is>
          <t>Producto</t>
        </is>
      </c>
      <c r="H1" s="1" t="inlineStr">
        <is>
          <t>Monto_Colocado</t>
        </is>
      </c>
      <c r="I1" s="1" t="inlineStr">
        <is>
          <t>Observacion</t>
        </is>
      </c>
    </row>
    <row r="2">
      <c r="A2" t="inlineStr">
        <is>
          <t>OP-1001</t>
        </is>
      </c>
      <c r="B2" t="inlineStr">
        <is>
          <t>2026-07-28</t>
        </is>
      </c>
      <c r="C2" t="inlineStr">
        <is>
          <t>Norte</t>
        </is>
      </c>
      <c r="D2" t="inlineStr">
        <is>
          <t>Saltillo</t>
        </is>
      </c>
      <c r="E2" t="inlineStr">
        <is>
          <t>Luis Herrera</t>
        </is>
      </c>
      <c r="F2" t="inlineStr">
        <is>
          <t>Gobierno</t>
        </is>
      </c>
      <c r="G2" t="inlineStr">
        <is>
          <t>Crédito Simple</t>
        </is>
      </c>
      <c r="H2" t="n">
        <v>2460000</v>
      </c>
    </row>
    <row r="3">
      <c r="A3" t="inlineStr">
        <is>
          <t>OP-1002</t>
        </is>
      </c>
      <c r="B3" t="inlineStr">
        <is>
          <t>2026-07-31</t>
        </is>
      </c>
      <c r="C3" t="inlineStr">
        <is>
          <t>Sur</t>
        </is>
      </c>
      <c r="D3" t="inlineStr">
        <is>
          <t>Oaxaca</t>
        </is>
      </c>
      <c r="E3" t="inlineStr">
        <is>
          <t>Sofía León</t>
        </is>
      </c>
      <c r="F3" t="inlineStr">
        <is>
          <t>Personas</t>
        </is>
      </c>
      <c r="G3" t="inlineStr">
        <is>
          <t>Factoraje</t>
        </is>
      </c>
      <c r="H3" t="n">
        <v>2120000</v>
      </c>
    </row>
    <row r="4">
      <c r="A4" t="inlineStr">
        <is>
          <t>OP-1003</t>
        </is>
      </c>
      <c r="B4" t="inlineStr">
        <is>
          <t>2026-07-27</t>
        </is>
      </c>
      <c r="C4" t="inlineStr">
        <is>
          <t>Sur</t>
        </is>
      </c>
      <c r="D4" t="inlineStr">
        <is>
          <t>Mérida</t>
        </is>
      </c>
      <c r="E4" t="inlineStr">
        <is>
          <t>Raúl Mendoza</t>
        </is>
      </c>
      <c r="F4" t="inlineStr">
        <is>
          <t>Pyme</t>
        </is>
      </c>
      <c r="G4" t="inlineStr">
        <is>
          <t>Crédito Simple</t>
        </is>
      </c>
      <c r="H4" t="n">
        <v>1770000</v>
      </c>
    </row>
    <row r="5">
      <c r="A5" t="inlineStr">
        <is>
          <t>OP-1004</t>
        </is>
      </c>
      <c r="B5" t="inlineStr">
        <is>
          <t>2026-07-27</t>
        </is>
      </c>
      <c r="C5" t="inlineStr">
        <is>
          <t>Norte</t>
        </is>
      </c>
      <c r="D5" t="inlineStr">
        <is>
          <t>Saltillo</t>
        </is>
      </c>
      <c r="E5" t="inlineStr">
        <is>
          <t>Luis Herrera</t>
        </is>
      </c>
      <c r="F5" t="inlineStr">
        <is>
          <t>Gobierno</t>
        </is>
      </c>
      <c r="G5" t="inlineStr">
        <is>
          <t>Crédito Simple</t>
        </is>
      </c>
      <c r="H5" t="n">
        <v>1350000</v>
      </c>
    </row>
    <row r="6">
      <c r="A6" t="inlineStr">
        <is>
          <t>OP-1005</t>
        </is>
      </c>
      <c r="B6" t="inlineStr">
        <is>
          <t>2026-07-29</t>
        </is>
      </c>
      <c r="C6" t="inlineStr">
        <is>
          <t>Sur</t>
        </is>
      </c>
      <c r="D6" t="inlineStr">
        <is>
          <t>Mérida</t>
        </is>
      </c>
      <c r="E6" t="inlineStr">
        <is>
          <t>Raúl Mendoza</t>
        </is>
      </c>
      <c r="F6" t="inlineStr">
        <is>
          <t>Gobierno</t>
        </is>
      </c>
      <c r="G6" t="inlineStr">
        <is>
          <t>Arrendamiento</t>
        </is>
      </c>
      <c r="H6" t="n">
        <v>1210000</v>
      </c>
    </row>
    <row r="7">
      <c r="A7" t="inlineStr">
        <is>
          <t>OP-1006</t>
        </is>
      </c>
      <c r="B7" t="inlineStr">
        <is>
          <t>2026-07-31</t>
        </is>
      </c>
      <c r="C7" t="inlineStr">
        <is>
          <t>Centro</t>
        </is>
      </c>
      <c r="D7" t="inlineStr">
        <is>
          <t>Santa Fe</t>
        </is>
      </c>
      <c r="E7" t="inlineStr">
        <is>
          <t>Jorge Vega</t>
        </is>
      </c>
      <c r="F7" t="inlineStr">
        <is>
          <t>Gobierno</t>
        </is>
      </c>
      <c r="G7" t="inlineStr">
        <is>
          <t>Factoraje</t>
        </is>
      </c>
      <c r="H7" t="n">
        <v>2100000</v>
      </c>
    </row>
    <row r="8">
      <c r="A8" t="inlineStr">
        <is>
          <t>OP-1007</t>
        </is>
      </c>
      <c r="B8" t="inlineStr">
        <is>
          <t>2026-07-31</t>
        </is>
      </c>
      <c r="C8" t="inlineStr">
        <is>
          <t>Norte</t>
        </is>
      </c>
      <c r="D8" t="inlineStr">
        <is>
          <t>Saltillo</t>
        </is>
      </c>
      <c r="E8" t="inlineStr">
        <is>
          <t>Luis Herrera</t>
        </is>
      </c>
      <c r="F8" t="inlineStr">
        <is>
          <t>Gobierno</t>
        </is>
      </c>
      <c r="G8" t="inlineStr">
        <is>
          <t>Crédito Simple</t>
        </is>
      </c>
      <c r="H8" t="n">
        <v>1620000</v>
      </c>
    </row>
    <row r="9">
      <c r="A9" t="inlineStr">
        <is>
          <t>OP-1008</t>
        </is>
      </c>
      <c r="B9" t="inlineStr">
        <is>
          <t>2026-07-31</t>
        </is>
      </c>
      <c r="C9" t="inlineStr">
        <is>
          <t>Centro</t>
        </is>
      </c>
      <c r="D9" t="inlineStr">
        <is>
          <t>Polanco</t>
        </is>
      </c>
      <c r="E9" t="inlineStr">
        <is>
          <t>Mónica Ibarra</t>
        </is>
      </c>
      <c r="F9" t="inlineStr">
        <is>
          <t>Gobierno</t>
        </is>
      </c>
      <c r="G9" t="inlineStr">
        <is>
          <t>Factoraje</t>
        </is>
      </c>
      <c r="H9" t="n">
        <v>560000</v>
      </c>
    </row>
    <row r="10">
      <c r="A10" t="inlineStr">
        <is>
          <t>OP-1009</t>
        </is>
      </c>
      <c r="B10" t="inlineStr">
        <is>
          <t>2026-07-30</t>
        </is>
      </c>
      <c r="C10" t="inlineStr">
        <is>
          <t>Centro</t>
        </is>
      </c>
      <c r="D10" t="inlineStr">
        <is>
          <t>Polanco</t>
        </is>
      </c>
      <c r="E10" t="inlineStr">
        <is>
          <t>Mónica Ibarra</t>
        </is>
      </c>
      <c r="F10" t="inlineStr">
        <is>
          <t>Empresarial</t>
        </is>
      </c>
      <c r="G10" t="inlineStr">
        <is>
          <t>Crédito Revolvente</t>
        </is>
      </c>
      <c r="H10" t="n">
        <v>1130000</v>
      </c>
    </row>
    <row r="11">
      <c r="A11" t="inlineStr">
        <is>
          <t>OP-1010</t>
        </is>
      </c>
      <c r="B11" t="inlineStr">
        <is>
          <t>2026-07-31</t>
        </is>
      </c>
      <c r="C11" t="inlineStr">
        <is>
          <t>Sur</t>
        </is>
      </c>
      <c r="D11" t="inlineStr">
        <is>
          <t>Puebla</t>
        </is>
      </c>
      <c r="E11" t="inlineStr">
        <is>
          <t>Paola Cruz</t>
        </is>
      </c>
      <c r="F11" t="inlineStr">
        <is>
          <t>Empresarial</t>
        </is>
      </c>
      <c r="G11" t="inlineStr">
        <is>
          <t>Factoraje</t>
        </is>
      </c>
      <c r="H11" t="n">
        <v>2480000</v>
      </c>
    </row>
    <row r="12">
      <c r="A12" t="inlineStr">
        <is>
          <t>OP-1011</t>
        </is>
      </c>
      <c r="B12" t="inlineStr">
        <is>
          <t>2026-07-31</t>
        </is>
      </c>
      <c r="C12" t="inlineStr">
        <is>
          <t>Sur</t>
        </is>
      </c>
      <c r="D12" t="inlineStr">
        <is>
          <t>Oaxaca</t>
        </is>
      </c>
      <c r="E12" t="inlineStr">
        <is>
          <t>Sofía León</t>
        </is>
      </c>
      <c r="F12" t="inlineStr">
        <is>
          <t>Personas</t>
        </is>
      </c>
      <c r="G12" t="inlineStr">
        <is>
          <t>Crédito Simple</t>
        </is>
      </c>
      <c r="H12" t="n">
        <v>1280000</v>
      </c>
    </row>
    <row r="13">
      <c r="A13" t="inlineStr">
        <is>
          <t>OP-1012</t>
        </is>
      </c>
      <c r="B13" t="inlineStr">
        <is>
          <t>2026-07-30</t>
        </is>
      </c>
      <c r="C13" t="inlineStr">
        <is>
          <t>Sur</t>
        </is>
      </c>
      <c r="D13" t="inlineStr">
        <is>
          <t>Mérida</t>
        </is>
      </c>
      <c r="E13" t="inlineStr">
        <is>
          <t>Raúl Mendoza</t>
        </is>
      </c>
      <c r="F13" t="inlineStr">
        <is>
          <t>Personas</t>
        </is>
      </c>
      <c r="G13" t="inlineStr">
        <is>
          <t>Crédito Revolvente</t>
        </is>
      </c>
      <c r="H13" t="n">
        <v>2360000</v>
      </c>
    </row>
    <row r="14">
      <c r="A14" t="inlineStr">
        <is>
          <t>OP-1013</t>
        </is>
      </c>
      <c r="B14" t="inlineStr">
        <is>
          <t>2026-07-28</t>
        </is>
      </c>
      <c r="C14" t="inlineStr">
        <is>
          <t>Sur</t>
        </is>
      </c>
      <c r="D14" t="inlineStr">
        <is>
          <t>Mérida</t>
        </is>
      </c>
      <c r="E14" t="inlineStr">
        <is>
          <t>Raúl Mendoza</t>
        </is>
      </c>
      <c r="F14" t="inlineStr">
        <is>
          <t>Empresarial</t>
        </is>
      </c>
      <c r="G14" t="inlineStr">
        <is>
          <t>Arrendamiento</t>
        </is>
      </c>
      <c r="H14" t="n">
        <v>2160000</v>
      </c>
    </row>
    <row r="15">
      <c r="A15" t="inlineStr">
        <is>
          <t>OP-1014</t>
        </is>
      </c>
      <c r="B15" t="inlineStr">
        <is>
          <t>2026-07-28</t>
        </is>
      </c>
      <c r="C15" t="inlineStr">
        <is>
          <t>Norte</t>
        </is>
      </c>
      <c r="D15" t="inlineStr">
        <is>
          <t>Monterrey Centro</t>
        </is>
      </c>
      <c r="E15" t="inlineStr">
        <is>
          <t>Ana Ramírez</t>
        </is>
      </c>
      <c r="F15" t="inlineStr">
        <is>
          <t>Empresarial</t>
        </is>
      </c>
      <c r="G15" t="inlineStr">
        <is>
          <t>Factoraje</t>
        </is>
      </c>
      <c r="H15" t="n">
        <v>1400000</v>
      </c>
    </row>
    <row r="16">
      <c r="A16" t="inlineStr">
        <is>
          <t>OP-1015</t>
        </is>
      </c>
      <c r="B16" t="inlineStr">
        <is>
          <t>2026-07-30</t>
        </is>
      </c>
      <c r="C16" t="inlineStr">
        <is>
          <t>Sur</t>
        </is>
      </c>
      <c r="D16" t="inlineStr">
        <is>
          <t>Mérida</t>
        </is>
      </c>
      <c r="E16" t="inlineStr">
        <is>
          <t>Raúl Mendoza</t>
        </is>
      </c>
      <c r="F16" t="inlineStr">
        <is>
          <t>Pyme</t>
        </is>
      </c>
      <c r="G16" t="inlineStr">
        <is>
          <t>Crédito Simple</t>
        </is>
      </c>
      <c r="H16" t="n">
        <v>1800000</v>
      </c>
    </row>
    <row r="17">
      <c r="A17" t="inlineStr">
        <is>
          <t>OP-1016</t>
        </is>
      </c>
      <c r="B17" t="inlineStr">
        <is>
          <t>2026-07-29</t>
        </is>
      </c>
      <c r="C17" t="inlineStr">
        <is>
          <t>Sur</t>
        </is>
      </c>
      <c r="D17" t="inlineStr">
        <is>
          <t>Mérida</t>
        </is>
      </c>
      <c r="E17" t="inlineStr">
        <is>
          <t>Raúl Mendoza</t>
        </is>
      </c>
      <c r="F17" t="inlineStr">
        <is>
          <t>Gobierno</t>
        </is>
      </c>
      <c r="G17" t="inlineStr">
        <is>
          <t>Factoraje</t>
        </is>
      </c>
      <c r="H17" t="n">
        <v>1910000</v>
      </c>
    </row>
    <row r="18">
      <c r="A18" t="inlineStr">
        <is>
          <t>OP-1017</t>
        </is>
      </c>
      <c r="B18" t="inlineStr">
        <is>
          <t>2026-07-28</t>
        </is>
      </c>
      <c r="C18" t="inlineStr">
        <is>
          <t>Sur</t>
        </is>
      </c>
      <c r="D18" t="inlineStr">
        <is>
          <t>Oaxaca</t>
        </is>
      </c>
      <c r="E18" t="inlineStr">
        <is>
          <t>Sofía León</t>
        </is>
      </c>
      <c r="F18" t="inlineStr">
        <is>
          <t>Personas</t>
        </is>
      </c>
      <c r="G18" t="inlineStr">
        <is>
          <t>Factoraje</t>
        </is>
      </c>
      <c r="H18" t="n">
        <v>1300000</v>
      </c>
    </row>
    <row r="19">
      <c r="A19" t="inlineStr">
        <is>
          <t>OP-1018</t>
        </is>
      </c>
      <c r="B19" t="inlineStr">
        <is>
          <t>2026-07-28</t>
        </is>
      </c>
      <c r="C19" t="inlineStr">
        <is>
          <t>Centro</t>
        </is>
      </c>
      <c r="D19" t="inlineStr">
        <is>
          <t>Polanco</t>
        </is>
      </c>
      <c r="E19" t="inlineStr">
        <is>
          <t>Mónica Ibarra</t>
        </is>
      </c>
      <c r="F19" t="inlineStr">
        <is>
          <t>Gobierno</t>
        </is>
      </c>
      <c r="G19" t="inlineStr">
        <is>
          <t>Crédito Simple</t>
        </is>
      </c>
      <c r="H19" t="n">
        <v>280000</v>
      </c>
    </row>
    <row r="20">
      <c r="A20" t="inlineStr">
        <is>
          <t>OP-1019</t>
        </is>
      </c>
      <c r="B20" t="inlineStr">
        <is>
          <t>2026-07-29</t>
        </is>
      </c>
      <c r="C20" t="inlineStr">
        <is>
          <t>Sur</t>
        </is>
      </c>
      <c r="D20" t="inlineStr">
        <is>
          <t>Mérida</t>
        </is>
      </c>
      <c r="E20" t="inlineStr">
        <is>
          <t>Raúl Mendoza</t>
        </is>
      </c>
      <c r="F20" t="inlineStr">
        <is>
          <t>Personas</t>
        </is>
      </c>
      <c r="G20" t="inlineStr">
        <is>
          <t>Crédito Revolvente</t>
        </is>
      </c>
      <c r="H20" t="n">
        <v>710000</v>
      </c>
    </row>
    <row r="21">
      <c r="A21" t="inlineStr">
        <is>
          <t>OP-1020</t>
        </is>
      </c>
      <c r="B21" t="inlineStr">
        <is>
          <t>2026-07-30</t>
        </is>
      </c>
      <c r="C21" t="inlineStr">
        <is>
          <t>Sur</t>
        </is>
      </c>
      <c r="D21" t="inlineStr">
        <is>
          <t>Mérida</t>
        </is>
      </c>
      <c r="E21" t="inlineStr">
        <is>
          <t>Raúl Mendoza</t>
        </is>
      </c>
      <c r="F21" t="inlineStr">
        <is>
          <t>Personas</t>
        </is>
      </c>
      <c r="G21" t="inlineStr">
        <is>
          <t>Factoraje</t>
        </is>
      </c>
      <c r="H21" t="n">
        <v>2260000</v>
      </c>
    </row>
    <row r="22">
      <c r="A22" t="inlineStr">
        <is>
          <t>OP-1021</t>
        </is>
      </c>
      <c r="B22" t="inlineStr">
        <is>
          <t>2026-07-30</t>
        </is>
      </c>
      <c r="C22" t="inlineStr">
        <is>
          <t>Sur</t>
        </is>
      </c>
      <c r="D22" t="inlineStr">
        <is>
          <t>Oaxaca</t>
        </is>
      </c>
      <c r="E22" t="inlineStr">
        <is>
          <t>Sofía León</t>
        </is>
      </c>
      <c r="F22" t="inlineStr">
        <is>
          <t>Empresarial</t>
        </is>
      </c>
      <c r="G22" t="inlineStr">
        <is>
          <t>Crédito Revolvente</t>
        </is>
      </c>
      <c r="H22" t="n">
        <v>1010000</v>
      </c>
    </row>
    <row r="23">
      <c r="A23" t="inlineStr">
        <is>
          <t>OP-1022</t>
        </is>
      </c>
      <c r="B23" t="inlineStr">
        <is>
          <t>2026-07-28</t>
        </is>
      </c>
      <c r="C23" t="inlineStr">
        <is>
          <t>Norte</t>
        </is>
      </c>
      <c r="D23" t="inlineStr">
        <is>
          <t>Saltillo</t>
        </is>
      </c>
      <c r="E23" t="inlineStr">
        <is>
          <t>Luis Herrera</t>
        </is>
      </c>
      <c r="F23" t="inlineStr">
        <is>
          <t>Personas</t>
        </is>
      </c>
      <c r="G23" t="inlineStr">
        <is>
          <t>Crédito Revolvente</t>
        </is>
      </c>
      <c r="H23" t="n">
        <v>1350000</v>
      </c>
    </row>
    <row r="24">
      <c r="A24" t="inlineStr">
        <is>
          <t>OP-1023</t>
        </is>
      </c>
      <c r="B24" t="inlineStr">
        <is>
          <t>2026-07-29</t>
        </is>
      </c>
      <c r="C24" t="inlineStr">
        <is>
          <t>Sur</t>
        </is>
      </c>
      <c r="D24" t="inlineStr">
        <is>
          <t>Puebla</t>
        </is>
      </c>
      <c r="E24" t="inlineStr">
        <is>
          <t>Paola Cruz</t>
        </is>
      </c>
      <c r="F24" t="inlineStr">
        <is>
          <t>Personas</t>
        </is>
      </c>
      <c r="G24" t="inlineStr">
        <is>
          <t>Crédito Simple</t>
        </is>
      </c>
      <c r="H24" t="n">
        <v>1860000</v>
      </c>
    </row>
    <row r="25">
      <c r="A25" t="inlineStr">
        <is>
          <t>OP-1024</t>
        </is>
      </c>
      <c r="B25" t="inlineStr">
        <is>
          <t>2026-07-30</t>
        </is>
      </c>
      <c r="C25" t="inlineStr">
        <is>
          <t>Sur</t>
        </is>
      </c>
      <c r="D25" t="inlineStr">
        <is>
          <t>Mérida</t>
        </is>
      </c>
      <c r="E25" t="inlineStr">
        <is>
          <t>Raúl Mendoza</t>
        </is>
      </c>
      <c r="F25" t="inlineStr">
        <is>
          <t>Gobierno</t>
        </is>
      </c>
      <c r="G25" t="inlineStr">
        <is>
          <t>Crédito Simple</t>
        </is>
      </c>
      <c r="H25" t="n">
        <v>690000</v>
      </c>
    </row>
    <row r="26">
      <c r="A26" t="inlineStr">
        <is>
          <t>OP-1025</t>
        </is>
      </c>
      <c r="B26" t="inlineStr">
        <is>
          <t>2026-07-27</t>
        </is>
      </c>
      <c r="C26" t="inlineStr">
        <is>
          <t>Norte</t>
        </is>
      </c>
      <c r="D26" t="inlineStr">
        <is>
          <t>Torreón</t>
        </is>
      </c>
      <c r="E26" t="inlineStr">
        <is>
          <t>Carla Núñez</t>
        </is>
      </c>
      <c r="F26" t="inlineStr">
        <is>
          <t>Personas</t>
        </is>
      </c>
      <c r="G26" t="inlineStr">
        <is>
          <t>Crédito Simple</t>
        </is>
      </c>
      <c r="H26" t="n">
        <v>430000</v>
      </c>
    </row>
    <row r="27">
      <c r="A27" t="inlineStr">
        <is>
          <t>OP-1026</t>
        </is>
      </c>
      <c r="B27" t="inlineStr">
        <is>
          <t>2026-07-27</t>
        </is>
      </c>
      <c r="C27" t="inlineStr">
        <is>
          <t>Sur</t>
        </is>
      </c>
      <c r="D27" t="inlineStr">
        <is>
          <t>Mérida</t>
        </is>
      </c>
      <c r="E27" t="inlineStr">
        <is>
          <t>Raúl Mendoza</t>
        </is>
      </c>
      <c r="F27" t="inlineStr">
        <is>
          <t>Empresarial</t>
        </is>
      </c>
      <c r="G27" t="inlineStr">
        <is>
          <t>Arrendamiento</t>
        </is>
      </c>
      <c r="H27" t="n">
        <v>830000</v>
      </c>
    </row>
    <row r="28">
      <c r="A28" t="inlineStr">
        <is>
          <t>OP-1027</t>
        </is>
      </c>
      <c r="B28" t="inlineStr">
        <is>
          <t>2026-07-27</t>
        </is>
      </c>
      <c r="C28" t="inlineStr">
        <is>
          <t>Norte</t>
        </is>
      </c>
      <c r="D28" t="inlineStr">
        <is>
          <t>Monterrey Centro</t>
        </is>
      </c>
      <c r="E28" t="inlineStr">
        <is>
          <t>Ana Ramírez</t>
        </is>
      </c>
      <c r="F28" t="inlineStr">
        <is>
          <t>Gobierno</t>
        </is>
      </c>
      <c r="G28" t="inlineStr">
        <is>
          <t>Crédito Revolvente</t>
        </is>
      </c>
      <c r="H28" t="n">
        <v>590000</v>
      </c>
    </row>
    <row r="29">
      <c r="A29" t="inlineStr">
        <is>
          <t>OP-1028</t>
        </is>
      </c>
      <c r="B29" t="inlineStr">
        <is>
          <t>2026-07-28</t>
        </is>
      </c>
      <c r="C29" t="inlineStr">
        <is>
          <t>Centro</t>
        </is>
      </c>
      <c r="D29" t="inlineStr">
        <is>
          <t>Santa Fe</t>
        </is>
      </c>
      <c r="E29" t="inlineStr">
        <is>
          <t>Jorge Vega</t>
        </is>
      </c>
      <c r="F29" t="inlineStr">
        <is>
          <t>Personas</t>
        </is>
      </c>
      <c r="G29" t="inlineStr">
        <is>
          <t>Arrendamiento</t>
        </is>
      </c>
      <c r="H29" t="n">
        <v>1590000</v>
      </c>
    </row>
    <row r="30">
      <c r="A30" t="inlineStr">
        <is>
          <t>OP-1029</t>
        </is>
      </c>
      <c r="B30" t="inlineStr">
        <is>
          <t>2026-07-30</t>
        </is>
      </c>
      <c r="C30" t="inlineStr">
        <is>
          <t>Sur</t>
        </is>
      </c>
      <c r="D30" t="inlineStr">
        <is>
          <t>Mérida</t>
        </is>
      </c>
      <c r="E30" t="inlineStr">
        <is>
          <t>Raúl Mendoza</t>
        </is>
      </c>
      <c r="F30" t="inlineStr">
        <is>
          <t>Pyme</t>
        </is>
      </c>
      <c r="G30" t="inlineStr">
        <is>
          <t>Crédito Revolvente</t>
        </is>
      </c>
      <c r="H30" t="n">
        <v>410000</v>
      </c>
    </row>
    <row r="31">
      <c r="A31" t="inlineStr">
        <is>
          <t>OP-1030</t>
        </is>
      </c>
      <c r="B31" t="inlineStr">
        <is>
          <t>2026-07-30</t>
        </is>
      </c>
      <c r="C31" t="inlineStr">
        <is>
          <t>Norte</t>
        </is>
      </c>
      <c r="D31" t="inlineStr">
        <is>
          <t>Torreón</t>
        </is>
      </c>
      <c r="E31" t="inlineStr">
        <is>
          <t>Carla Núñez</t>
        </is>
      </c>
      <c r="F31" t="inlineStr">
        <is>
          <t>Pyme</t>
        </is>
      </c>
      <c r="G31" t="inlineStr">
        <is>
          <t>Crédito Revolvente</t>
        </is>
      </c>
      <c r="H31" t="n">
        <v>1490000</v>
      </c>
    </row>
    <row r="32">
      <c r="A32" t="inlineStr">
        <is>
          <t>OP-1031</t>
        </is>
      </c>
      <c r="B32" t="inlineStr">
        <is>
          <t>2026-07-27</t>
        </is>
      </c>
      <c r="C32" t="inlineStr">
        <is>
          <t>Sur</t>
        </is>
      </c>
      <c r="D32" t="inlineStr">
        <is>
          <t>Puebla</t>
        </is>
      </c>
      <c r="E32" t="inlineStr">
        <is>
          <t>Paola Cruz</t>
        </is>
      </c>
      <c r="F32" t="inlineStr">
        <is>
          <t>Pyme</t>
        </is>
      </c>
      <c r="G32" t="inlineStr">
        <is>
          <t>Arrendamiento</t>
        </is>
      </c>
      <c r="H32" t="n">
        <v>1160000</v>
      </c>
    </row>
    <row r="33">
      <c r="A33" t="inlineStr">
        <is>
          <t>OP-1032</t>
        </is>
      </c>
      <c r="B33" t="inlineStr">
        <is>
          <t>2026-07-29</t>
        </is>
      </c>
      <c r="C33" t="inlineStr">
        <is>
          <t>Norte</t>
        </is>
      </c>
      <c r="D33" t="inlineStr">
        <is>
          <t>Saltillo</t>
        </is>
      </c>
      <c r="E33" t="inlineStr">
        <is>
          <t>Luis Herrera</t>
        </is>
      </c>
      <c r="F33" t="inlineStr">
        <is>
          <t>Personas</t>
        </is>
      </c>
      <c r="G33" t="inlineStr">
        <is>
          <t>Crédito Simple</t>
        </is>
      </c>
      <c r="H33" t="n">
        <v>330000</v>
      </c>
    </row>
    <row r="34">
      <c r="A34" t="inlineStr">
        <is>
          <t>OP-1033</t>
        </is>
      </c>
      <c r="B34" t="inlineStr">
        <is>
          <t>2026-07-30</t>
        </is>
      </c>
      <c r="C34" t="inlineStr">
        <is>
          <t>Centro</t>
        </is>
      </c>
      <c r="D34" t="inlineStr">
        <is>
          <t>Santa Fe</t>
        </is>
      </c>
      <c r="E34" t="inlineStr">
        <is>
          <t>Jorge Vega</t>
        </is>
      </c>
      <c r="F34" t="inlineStr">
        <is>
          <t>Empresarial</t>
        </is>
      </c>
      <c r="G34" t="inlineStr">
        <is>
          <t>Crédito Simple</t>
        </is>
      </c>
      <c r="H34" t="n">
        <v>1500000</v>
      </c>
    </row>
    <row r="35">
      <c r="A35" t="inlineStr">
        <is>
          <t>OP-1034</t>
        </is>
      </c>
      <c r="B35" t="inlineStr">
        <is>
          <t>2026-07-27</t>
        </is>
      </c>
      <c r="C35" t="inlineStr">
        <is>
          <t>Centro</t>
        </is>
      </c>
      <c r="D35" t="inlineStr">
        <is>
          <t>Santa Fe</t>
        </is>
      </c>
      <c r="E35" t="inlineStr">
        <is>
          <t>Jorge Vega</t>
        </is>
      </c>
      <c r="F35" t="inlineStr">
        <is>
          <t>Gobierno</t>
        </is>
      </c>
      <c r="G35" t="inlineStr">
        <is>
          <t>Factoraje</t>
        </is>
      </c>
      <c r="H35" t="n">
        <v>1030000</v>
      </c>
    </row>
    <row r="36">
      <c r="A36" t="inlineStr">
        <is>
          <t>OP-1035</t>
        </is>
      </c>
      <c r="B36" t="inlineStr">
        <is>
          <t>2026-07-31</t>
        </is>
      </c>
      <c r="C36" t="inlineStr">
        <is>
          <t>Sur</t>
        </is>
      </c>
      <c r="D36" t="inlineStr">
        <is>
          <t>Mérida</t>
        </is>
      </c>
      <c r="E36" t="inlineStr">
        <is>
          <t>Raúl Mendoza</t>
        </is>
      </c>
      <c r="F36" t="inlineStr">
        <is>
          <t>Personas</t>
        </is>
      </c>
      <c r="G36" t="inlineStr">
        <is>
          <t>Arrendamiento</t>
        </is>
      </c>
      <c r="H36" t="n">
        <v>590000</v>
      </c>
    </row>
    <row r="37">
      <c r="A37" t="inlineStr">
        <is>
          <t>OP-1036</t>
        </is>
      </c>
      <c r="B37" t="inlineStr">
        <is>
          <t>2026-07-29</t>
        </is>
      </c>
      <c r="C37" t="inlineStr">
        <is>
          <t>Sur</t>
        </is>
      </c>
      <c r="D37" t="inlineStr">
        <is>
          <t>Oaxaca</t>
        </is>
      </c>
      <c r="E37" t="inlineStr">
        <is>
          <t>Sofía León</t>
        </is>
      </c>
      <c r="F37" t="inlineStr">
        <is>
          <t>Pyme</t>
        </is>
      </c>
      <c r="G37" t="inlineStr">
        <is>
          <t>Factoraje</t>
        </is>
      </c>
      <c r="H37" t="n">
        <v>1790000</v>
      </c>
    </row>
    <row r="38">
      <c r="A38" t="inlineStr">
        <is>
          <t>OP-1037</t>
        </is>
      </c>
      <c r="B38" t="inlineStr">
        <is>
          <t>2026-07-30</t>
        </is>
      </c>
      <c r="C38" t="inlineStr">
        <is>
          <t>Sur</t>
        </is>
      </c>
      <c r="D38" t="inlineStr">
        <is>
          <t>Mérida</t>
        </is>
      </c>
      <c r="E38" t="inlineStr">
        <is>
          <t>Raúl Mendoza</t>
        </is>
      </c>
      <c r="F38" t="inlineStr">
        <is>
          <t>Pyme</t>
        </is>
      </c>
      <c r="G38" t="inlineStr">
        <is>
          <t>Crédito Simple</t>
        </is>
      </c>
      <c r="H38" t="n">
        <v>1600000</v>
      </c>
    </row>
    <row r="39">
      <c r="A39" t="inlineStr">
        <is>
          <t>OP-1038</t>
        </is>
      </c>
      <c r="B39" t="inlineStr">
        <is>
          <t>2026-07-31</t>
        </is>
      </c>
      <c r="C39" t="inlineStr">
        <is>
          <t>Norte</t>
        </is>
      </c>
      <c r="D39" t="inlineStr">
        <is>
          <t>Monterrey Centro</t>
        </is>
      </c>
      <c r="E39" t="inlineStr">
        <is>
          <t>Ana Ramírez</t>
        </is>
      </c>
      <c r="F39" t="inlineStr">
        <is>
          <t>Pyme</t>
        </is>
      </c>
      <c r="G39" t="inlineStr">
        <is>
          <t>Arrendamiento</t>
        </is>
      </c>
      <c r="H39" t="n">
        <v>310000</v>
      </c>
    </row>
    <row r="40">
      <c r="A40" t="inlineStr">
        <is>
          <t>OP-1039</t>
        </is>
      </c>
      <c r="B40" t="inlineStr">
        <is>
          <t>2026-07-27</t>
        </is>
      </c>
      <c r="C40" t="inlineStr">
        <is>
          <t>Norte</t>
        </is>
      </c>
      <c r="D40" t="inlineStr">
        <is>
          <t>Monterrey Centro</t>
        </is>
      </c>
      <c r="E40" t="inlineStr">
        <is>
          <t>Ana Ramírez</t>
        </is>
      </c>
      <c r="F40" t="inlineStr">
        <is>
          <t>Personas</t>
        </is>
      </c>
      <c r="G40" t="inlineStr">
        <is>
          <t>Arrendamiento</t>
        </is>
      </c>
      <c r="H40" t="n">
        <v>1430000</v>
      </c>
    </row>
    <row r="41">
      <c r="A41" t="inlineStr">
        <is>
          <t>OP-1040</t>
        </is>
      </c>
      <c r="B41" t="inlineStr">
        <is>
          <t>2026-07-28</t>
        </is>
      </c>
      <c r="C41" t="inlineStr">
        <is>
          <t>Norte</t>
        </is>
      </c>
      <c r="D41" t="inlineStr">
        <is>
          <t>Torreón</t>
        </is>
      </c>
      <c r="E41" t="inlineStr">
        <is>
          <t>Carla Núñez</t>
        </is>
      </c>
      <c r="F41" t="inlineStr">
        <is>
          <t>Pyme</t>
        </is>
      </c>
      <c r="G41" t="inlineStr">
        <is>
          <t>Arrendamiento</t>
        </is>
      </c>
      <c r="H41" t="n">
        <v>610000</v>
      </c>
    </row>
    <row r="42">
      <c r="A42" t="inlineStr">
        <is>
          <t>OP-1041</t>
        </is>
      </c>
      <c r="B42" t="inlineStr">
        <is>
          <t>2026-07-30</t>
        </is>
      </c>
      <c r="C42" t="inlineStr">
        <is>
          <t>Sur</t>
        </is>
      </c>
      <c r="D42" t="inlineStr">
        <is>
          <t>Puebla</t>
        </is>
      </c>
      <c r="E42" t="inlineStr">
        <is>
          <t>Paola Cruz</t>
        </is>
      </c>
      <c r="F42" t="inlineStr">
        <is>
          <t>Gobierno</t>
        </is>
      </c>
      <c r="G42" t="inlineStr">
        <is>
          <t>Factoraje</t>
        </is>
      </c>
      <c r="H42" t="n">
        <v>1560000</v>
      </c>
    </row>
    <row r="43">
      <c r="A43" t="inlineStr">
        <is>
          <t>OP-1042</t>
        </is>
      </c>
      <c r="B43" t="inlineStr">
        <is>
          <t>2026-07-29</t>
        </is>
      </c>
      <c r="C43" t="inlineStr">
        <is>
          <t>Norte</t>
        </is>
      </c>
      <c r="D43" t="inlineStr">
        <is>
          <t>Saltillo</t>
        </is>
      </c>
      <c r="E43" t="inlineStr">
        <is>
          <t>Luis Herrera</t>
        </is>
      </c>
      <c r="F43" t="inlineStr">
        <is>
          <t>Personas</t>
        </is>
      </c>
      <c r="G43" t="inlineStr">
        <is>
          <t>Crédito Revolvente</t>
        </is>
      </c>
      <c r="H43" t="n">
        <v>670000</v>
      </c>
    </row>
    <row r="44">
      <c r="A44" t="inlineStr">
        <is>
          <t>OP-1043</t>
        </is>
      </c>
      <c r="B44" t="inlineStr">
        <is>
          <t>2026-07-30</t>
        </is>
      </c>
      <c r="C44" t="inlineStr">
        <is>
          <t>Norte</t>
        </is>
      </c>
      <c r="D44" t="inlineStr">
        <is>
          <t>Torreón</t>
        </is>
      </c>
      <c r="E44" t="inlineStr">
        <is>
          <t>Carla Núñez</t>
        </is>
      </c>
      <c r="F44" t="inlineStr">
        <is>
          <t>Gobierno</t>
        </is>
      </c>
      <c r="G44" t="inlineStr">
        <is>
          <t>Factoraje</t>
        </is>
      </c>
      <c r="H44" t="n">
        <v>1470000</v>
      </c>
    </row>
    <row r="45">
      <c r="A45" t="inlineStr">
        <is>
          <t>OP-1044</t>
        </is>
      </c>
      <c r="B45" t="inlineStr">
        <is>
          <t>2026-07-31</t>
        </is>
      </c>
      <c r="C45" t="inlineStr">
        <is>
          <t>Centro</t>
        </is>
      </c>
      <c r="D45" t="inlineStr">
        <is>
          <t>Polanco</t>
        </is>
      </c>
      <c r="E45" t="inlineStr">
        <is>
          <t>Mónica Ibarra</t>
        </is>
      </c>
      <c r="F45" t="inlineStr">
        <is>
          <t>Personas</t>
        </is>
      </c>
      <c r="G45" t="inlineStr">
        <is>
          <t>Arrendamiento</t>
        </is>
      </c>
      <c r="H45" t="n">
        <v>1030000</v>
      </c>
    </row>
    <row r="46">
      <c r="A46" t="inlineStr">
        <is>
          <t>OP-1045</t>
        </is>
      </c>
      <c r="B46" t="inlineStr">
        <is>
          <t>2026-07-31</t>
        </is>
      </c>
      <c r="C46" t="inlineStr">
        <is>
          <t>Sur</t>
        </is>
      </c>
      <c r="D46" t="inlineStr">
        <is>
          <t>Mérida</t>
        </is>
      </c>
      <c r="E46" t="inlineStr">
        <is>
          <t>Raúl Mendoza</t>
        </is>
      </c>
      <c r="F46" t="inlineStr">
        <is>
          <t>Personas</t>
        </is>
      </c>
      <c r="G46" t="inlineStr">
        <is>
          <t>Crédito Simple</t>
        </is>
      </c>
      <c r="H46" t="n">
        <v>1540000</v>
      </c>
    </row>
    <row r="47">
      <c r="A47" t="inlineStr">
        <is>
          <t>OP-1046</t>
        </is>
      </c>
      <c r="B47" t="inlineStr">
        <is>
          <t>2026-07-27</t>
        </is>
      </c>
      <c r="C47" t="inlineStr">
        <is>
          <t>Centro</t>
        </is>
      </c>
      <c r="D47" t="inlineStr">
        <is>
          <t>Polanco</t>
        </is>
      </c>
      <c r="E47" t="inlineStr">
        <is>
          <t>Mónica Ibarra</t>
        </is>
      </c>
      <c r="F47" t="inlineStr">
        <is>
          <t>Empresarial</t>
        </is>
      </c>
      <c r="G47" t="inlineStr">
        <is>
          <t>Arrendamiento</t>
        </is>
      </c>
      <c r="H47" t="n">
        <v>790000</v>
      </c>
    </row>
    <row r="48">
      <c r="A48" t="inlineStr">
        <is>
          <t>OP-1047</t>
        </is>
      </c>
      <c r="B48" t="inlineStr">
        <is>
          <t>2026-07-31</t>
        </is>
      </c>
      <c r="C48" t="inlineStr">
        <is>
          <t>Norte</t>
        </is>
      </c>
      <c r="D48" t="inlineStr">
        <is>
          <t>Saltillo</t>
        </is>
      </c>
      <c r="E48" t="inlineStr">
        <is>
          <t>Luis Herrera</t>
        </is>
      </c>
      <c r="F48" t="inlineStr">
        <is>
          <t>Personas</t>
        </is>
      </c>
      <c r="G48" t="inlineStr">
        <is>
          <t>Crédito Revolvente</t>
        </is>
      </c>
      <c r="H48" t="n">
        <v>1240000</v>
      </c>
    </row>
    <row r="49">
      <c r="A49" t="inlineStr">
        <is>
          <t>OP-1048</t>
        </is>
      </c>
      <c r="B49" t="inlineStr">
        <is>
          <t>2026-07-28</t>
        </is>
      </c>
      <c r="C49" t="inlineStr">
        <is>
          <t>Norte</t>
        </is>
      </c>
      <c r="D49" t="inlineStr">
        <is>
          <t>Torreón</t>
        </is>
      </c>
      <c r="E49" t="inlineStr">
        <is>
          <t>Carla Núñez</t>
        </is>
      </c>
      <c r="F49" t="inlineStr">
        <is>
          <t>Empresarial</t>
        </is>
      </c>
      <c r="G49" t="inlineStr">
        <is>
          <t>Crédito Revolvente</t>
        </is>
      </c>
      <c r="H49" t="n">
        <v>2360000</v>
      </c>
    </row>
    <row r="50">
      <c r="A50" t="inlineStr">
        <is>
          <t>OP-1049</t>
        </is>
      </c>
      <c r="B50" t="inlineStr">
        <is>
          <t>2026-07-29</t>
        </is>
      </c>
      <c r="C50" t="inlineStr">
        <is>
          <t>Centro</t>
        </is>
      </c>
      <c r="D50" t="inlineStr">
        <is>
          <t>Santa Fe</t>
        </is>
      </c>
      <c r="E50" t="inlineStr">
        <is>
          <t>Jorge Vega</t>
        </is>
      </c>
      <c r="F50" t="inlineStr">
        <is>
          <t>Pyme</t>
        </is>
      </c>
      <c r="G50" t="inlineStr">
        <is>
          <t>Crédito Simple</t>
        </is>
      </c>
      <c r="H50" t="n">
        <v>1780000</v>
      </c>
    </row>
    <row r="51">
      <c r="A51" t="inlineStr">
        <is>
          <t>OP-1050</t>
        </is>
      </c>
      <c r="B51" t="inlineStr">
        <is>
          <t>2026-07-29</t>
        </is>
      </c>
      <c r="C51" t="inlineStr">
        <is>
          <t>Sur</t>
        </is>
      </c>
      <c r="D51" t="inlineStr">
        <is>
          <t>Oaxaca</t>
        </is>
      </c>
      <c r="E51" t="inlineStr">
        <is>
          <t>Sofía León</t>
        </is>
      </c>
      <c r="F51" t="inlineStr">
        <is>
          <t>Pyme</t>
        </is>
      </c>
      <c r="G51" t="inlineStr">
        <is>
          <t>Crédito Revolvente</t>
        </is>
      </c>
      <c r="H51" t="n">
        <v>1640000</v>
      </c>
    </row>
    <row r="52">
      <c r="A52" t="inlineStr">
        <is>
          <t>OP-1051</t>
        </is>
      </c>
      <c r="B52" t="inlineStr">
        <is>
          <t>2026-07-29</t>
        </is>
      </c>
      <c r="C52" t="inlineStr">
        <is>
          <t>Centro</t>
        </is>
      </c>
      <c r="D52" t="inlineStr">
        <is>
          <t>Reforma</t>
        </is>
      </c>
      <c r="E52" t="inlineStr">
        <is>
          <t>Diego Salas</t>
        </is>
      </c>
      <c r="F52" t="inlineStr">
        <is>
          <t>Empresarial</t>
        </is>
      </c>
      <c r="G52" t="inlineStr">
        <is>
          <t>Crédito Simple</t>
        </is>
      </c>
      <c r="H52" t="n">
        <v>85000000</v>
      </c>
      <c r="I52" t="inlineStr">
        <is>
          <t>Posible outlier</t>
        </is>
      </c>
    </row>
    <row r="53">
      <c r="A53" t="inlineStr">
        <is>
          <t>OP-1052</t>
        </is>
      </c>
      <c r="B53" t="inlineStr">
        <is>
          <t>2026-07-30</t>
        </is>
      </c>
      <c r="C53" t="inlineStr">
        <is>
          <t>Sur</t>
        </is>
      </c>
      <c r="D53" t="inlineStr">
        <is>
          <t>Puebla</t>
        </is>
      </c>
      <c r="E53" t="inlineStr">
        <is>
          <t>Paola Cruz</t>
        </is>
      </c>
      <c r="F53" t="inlineStr">
        <is>
          <t>Pyme</t>
        </is>
      </c>
      <c r="G53" t="inlineStr">
        <is>
          <t>Factoraje</t>
        </is>
      </c>
      <c r="H53" t="n">
        <v>-620000</v>
      </c>
      <c r="I53" t="inlineStr">
        <is>
          <t>Monto negativo</t>
        </is>
      </c>
    </row>
    <row r="54">
      <c r="A54" t="inlineStr">
        <is>
          <t>OP-1053</t>
        </is>
      </c>
      <c r="B54" t="inlineStr">
        <is>
          <t>2026-07-28</t>
        </is>
      </c>
      <c r="C54" t="inlineStr">
        <is>
          <t>Centro</t>
        </is>
      </c>
      <c r="D54" t="inlineStr">
        <is>
          <t>Polanco</t>
        </is>
      </c>
      <c r="E54" t="inlineStr">
        <is>
          <t>Mónica Ibarra</t>
        </is>
      </c>
      <c r="F54" t="inlineStr">
        <is>
          <t>Gobierno</t>
        </is>
      </c>
      <c r="G54" t="inlineStr">
        <is>
          <t>Crédito Simple</t>
        </is>
      </c>
      <c r="H54" t="n">
        <v>1250000</v>
      </c>
    </row>
    <row r="55">
      <c r="A55" t="inlineStr">
        <is>
          <t>OP-1054</t>
        </is>
      </c>
      <c r="B55" t="inlineStr">
        <is>
          <t>2026-07-27</t>
        </is>
      </c>
      <c r="C55" t="inlineStr">
        <is>
          <t>Norte</t>
        </is>
      </c>
      <c r="D55" t="inlineStr">
        <is>
          <t>Monterrey Centro</t>
        </is>
      </c>
      <c r="E55" t="inlineStr">
        <is>
          <t>Ana Ramírez</t>
        </is>
      </c>
      <c r="F55" t="inlineStr">
        <is>
          <t>Empresarial</t>
        </is>
      </c>
      <c r="G55" t="inlineStr">
        <is>
          <t>Arrendamiento</t>
        </is>
      </c>
      <c r="H55" t="n">
        <v>980000</v>
      </c>
    </row>
    <row r="56">
      <c r="A56" t="inlineStr">
        <is>
          <t>OP-1055</t>
        </is>
      </c>
      <c r="B56" t="inlineStr">
        <is>
          <t>2026-07-31</t>
        </is>
      </c>
      <c r="C56" t="inlineStr">
        <is>
          <t>Centro</t>
        </is>
      </c>
      <c r="D56" t="inlineStr">
        <is>
          <t>Santa Fe</t>
        </is>
      </c>
      <c r="E56" t="inlineStr">
        <is>
          <t>Sin asignar</t>
        </is>
      </c>
      <c r="F56" t="inlineStr">
        <is>
          <t>Personas</t>
        </is>
      </c>
      <c r="G56" t="inlineStr">
        <is>
          <t>Crédito Revolvente</t>
        </is>
      </c>
      <c r="H56" t="n">
        <v>540000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Problema detectado</t>
        </is>
      </c>
    </row>
    <row r="2">
      <c r="A2" t="inlineStr">
        <is>
          <t>Columna 'Fecha': 4 formatos distintos mezclados {'fecha_dmy': 14, 'fecha_ymd': 14, 'fecha_ymd_hora': 24, 'fecha_dmony': 4} -&gt; se estandarizan a AAAA-MM-DD.</t>
        </is>
      </c>
    </row>
    <row r="3">
      <c r="A3" t="inlineStr">
        <is>
          <t>Columna 'Segmento': 8 variantes de escritura ['EMPRESA', 'Empresarial', 'Gobierno', 'PYME', 'Personas', 'Pyme', 'Pymes', 'empresarial'] -&gt; unificadas a ['Empresarial', 'Gobierno', 'Personas', 'Pyme'].</t>
        </is>
      </c>
    </row>
    <row r="4">
      <c r="A4" t="inlineStr">
        <is>
          <t>ID_Operacion duplicado: ['OP-1054'] (2 filas). Se conserva el registro más completo de cada grupo.</t>
        </is>
      </c>
    </row>
    <row r="5">
      <c r="A5" t="inlineStr">
        <is>
          <t>Columna 'Ejecutivo': 1 valor(es) faltante(s) en ['OP-1055'].</t>
        </is>
      </c>
    </row>
    <row r="6">
      <c r="A6" t="inlineStr">
        <is>
          <t>Monto_Colocado NEGATIVO en ['OP-1052'] (no debería ocurrir en un reporte de colocación; se conserva marcado para validación, no se elimina).</t>
        </is>
      </c>
    </row>
    <row r="7">
      <c r="A7" t="inlineStr">
        <is>
          <t>Monto_Colocado atípico (&gt;3 desv. estándar de la media=2,801,636) en ['OP-1051'] (posible error de captura; se conserva marcado, no se elimina).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Columna</t>
        </is>
      </c>
      <c r="B1" s="1" t="inlineStr">
        <is>
          <t>Nulos</t>
        </is>
      </c>
      <c r="C1" s="1" t="inlineStr">
        <is>
          <t>% Nulos</t>
        </is>
      </c>
      <c r="D1" s="1" t="inlineStr">
        <is>
          <t>Valores únicos</t>
        </is>
      </c>
      <c r="E1" s="1" t="inlineStr">
        <is>
          <t>Patrones detectados</t>
        </is>
      </c>
    </row>
    <row r="2">
      <c r="A2" t="inlineStr">
        <is>
          <t>ID_Operacion</t>
        </is>
      </c>
      <c r="B2" t="n">
        <v>0</v>
      </c>
      <c r="C2" t="n">
        <v>0</v>
      </c>
      <c r="D2" t="n">
        <v>55</v>
      </c>
      <c r="E2" t="inlineStr">
        <is>
          <t>{}</t>
        </is>
      </c>
    </row>
    <row r="3">
      <c r="A3" t="inlineStr">
        <is>
          <t>Fecha</t>
        </is>
      </c>
      <c r="B3" t="n">
        <v>0</v>
      </c>
      <c r="C3" t="n">
        <v>0</v>
      </c>
      <c r="D3" t="n">
        <v>18</v>
      </c>
      <c r="E3" t="inlineStr">
        <is>
          <t>{'fecha_dmy': 14, 'fecha_ymd': 14, 'fecha_ymd_hora': 24, 'fecha_dmony': 4}</t>
        </is>
      </c>
    </row>
    <row r="4">
      <c r="A4" t="inlineStr">
        <is>
          <t>Región</t>
        </is>
      </c>
      <c r="B4" t="n">
        <v>0</v>
      </c>
      <c r="C4" t="n">
        <v>0</v>
      </c>
      <c r="D4" t="n">
        <v>3</v>
      </c>
      <c r="E4" t="inlineStr">
        <is>
          <t>{}</t>
        </is>
      </c>
    </row>
    <row r="5">
      <c r="A5" t="inlineStr">
        <is>
          <t>Sucursal</t>
        </is>
      </c>
      <c r="B5" t="n">
        <v>0</v>
      </c>
      <c r="C5" t="n">
        <v>0</v>
      </c>
      <c r="D5" t="n">
        <v>9</v>
      </c>
      <c r="E5" t="inlineStr">
        <is>
          <t>{}</t>
        </is>
      </c>
    </row>
    <row r="6">
      <c r="A6" t="inlineStr">
        <is>
          <t>Ejecutivo</t>
        </is>
      </c>
      <c r="B6" t="n">
        <v>1</v>
      </c>
      <c r="C6" t="n">
        <v>1.8</v>
      </c>
      <c r="D6" t="n">
        <v>9</v>
      </c>
      <c r="E6" t="inlineStr">
        <is>
          <t>{}</t>
        </is>
      </c>
    </row>
    <row r="7">
      <c r="A7" t="inlineStr">
        <is>
          <t>Segmento</t>
        </is>
      </c>
      <c r="B7" t="n">
        <v>0</v>
      </c>
      <c r="C7" t="n">
        <v>0</v>
      </c>
      <c r="D7" t="n">
        <v>8</v>
      </c>
      <c r="E7" t="inlineStr">
        <is>
          <t>{}</t>
        </is>
      </c>
    </row>
    <row r="8">
      <c r="A8" t="inlineStr">
        <is>
          <t>Producto</t>
        </is>
      </c>
      <c r="B8" t="n">
        <v>0</v>
      </c>
      <c r="C8" t="n">
        <v>0</v>
      </c>
      <c r="D8" t="n">
        <v>4</v>
      </c>
      <c r="E8" t="inlineStr">
        <is>
          <t>{}</t>
        </is>
      </c>
    </row>
    <row r="9">
      <c r="A9" t="inlineStr">
        <is>
          <t>Monto_Colocado</t>
        </is>
      </c>
      <c r="B9" t="n">
        <v>0</v>
      </c>
      <c r="C9" t="n">
        <v>0</v>
      </c>
      <c r="D9" t="n">
        <v>51</v>
      </c>
      <c r="E9" t="inlineStr">
        <is>
          <t>{'numero_sin_comas': 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70" customWidth="1" min="1" max="1"/>
    <col width="18" customWidth="1" min="2" max="2"/>
  </cols>
  <sheetData>
    <row r="1">
      <c r="A1" s="2" t="inlineStr">
        <is>
          <t>Puente de conciliación</t>
        </is>
      </c>
    </row>
    <row r="2">
      <c r="A2" s="2" t="inlineStr">
        <is>
          <t>Concepto</t>
        </is>
      </c>
      <c r="B2" s="2" t="inlineStr">
        <is>
          <t>Monto (MXN)</t>
        </is>
      </c>
    </row>
    <row r="3">
      <c r="A3" t="inlineStr">
        <is>
          <t>Total original en 'Datos' (tal cual reportado)</t>
        </is>
      </c>
      <c r="B3" t="n">
        <v>155070000</v>
      </c>
    </row>
    <row r="4">
      <c r="A4" t="inlineStr">
        <is>
          <t>(-) Registro(s) duplicado(s)</t>
        </is>
      </c>
      <c r="B4" t="n">
        <v>-980000</v>
      </c>
    </row>
    <row r="5">
      <c r="A5">
        <f> Subtotal tras deduplicar</f>
        <v/>
      </c>
      <c r="B5" t="n">
        <v>154090000</v>
      </c>
    </row>
    <row r="6">
      <c r="A6" t="inlineStr">
        <is>
          <t>(-) Monto(s) atípico(s) (outlier)</t>
        </is>
      </c>
      <c r="B6" t="n">
        <v>-85000000</v>
      </c>
    </row>
    <row r="7">
      <c r="A7" t="inlineStr">
        <is>
          <t>(-) Monto(s) negativo(s)</t>
        </is>
      </c>
      <c r="B7" t="n">
        <v>620000</v>
      </c>
    </row>
    <row r="8">
      <c r="A8">
        <f> Total de operaciones 'normales'</f>
        <v/>
      </c>
      <c r="B8" t="n">
        <v>69710000</v>
      </c>
    </row>
    <row r="9">
      <c r="A9" t="inlineStr">
        <is>
          <t>Total de control (sistema)</t>
        </is>
      </c>
      <c r="B9" t="n">
        <v>71180000</v>
      </c>
    </row>
    <row r="10">
      <c r="A10" t="inlineStr">
        <is>
          <t>DIFERENCIA sin explicar</t>
        </is>
      </c>
      <c r="B10" t="n">
        <v>-1470000</v>
      </c>
    </row>
    <row r="12">
      <c r="A12" s="2" t="inlineStr">
        <is>
          <t>Explicación de cada diferencia (generado por IA local)</t>
        </is>
      </c>
    </row>
    <row r="13">
      <c r="A13" s="3" t="inlineStr">
        <is>
          <t>**Duplicado de registro**
El primer punto que debemos considerar es el duplicado de un registro con un monto de 980,000 MXN. Esto significa que en el sistema fuente se registró una operación dos veces, lo que da como resultado un total incorrecto. Al quitar este duplicado, el subtotal pasa a ser de 154,090,000 MXN. Es importante identificar y corregir estos errores para garantizar la precisión de los datos.
**Monto atípico (outlier)**
Otro punto relevante es la detección de un monto atípico por 85,000,000 MXN en la operación 'OP-1051'. Un outlier estadístico puede indicar una anormalidad en el proceso o una falta de consistencia en los datos. Es importante investigar y entender qué causó este valor anómalo para evitar futuros errores y garantizar la integridad de los datos.
**Monto negativo**
Además, se detectó un monto negativo por -620,000 MXN en la operación 'OP-1052'. Un monto negativo no debería existir en un reporte de colocación, lo que sugiere una posible inconsistencia o error en el proceso. Es importante identificar y corregir estos errores para garantizar la precisión y confiabilidad de los datos.
**Diferencia residual**
Finalmente, queda una diferencia residual sin explicar de -1,470,000 MXN entre el total de operaciones "normales" (69,710,000 MXN) y el control reportado por el sistema (71,180,000 MXN). Aunque no se explica con la información disponible, es posible que esta diferencia se deba a varias causas posibles, como:
* Operaciones fuera del corte: Es posible que haya operaciones que estén fuera del período de corte y no hayan sido incluidas en el reporte.
* Otro canal no capturado: Puede haber otro canal o sistema que no haya sido capturado en el reporte, lo que daría como resultado una diferencia en los totales.
* Ajustes manuales posteriores al reporte: Es posible que se hayan realizado ajustes manuales posteriores al reporte que no estén reflejados en la información disponible.
Es importante investigar y entender qué causó esta diferencia para garantizar la precisión y confiabilidad de los datos.</t>
        </is>
      </c>
    </row>
    <row r="15">
      <c r="A15" s="2" t="inlineStr">
        <is>
          <t>Verificación automática</t>
        </is>
      </c>
    </row>
    <row r="16">
      <c r="A16" s="3" t="inlineStr">
        <is>
          <t>✅ Verificación automática: los porcentajes y montos citados coinciden con las tablas calculadas.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20" customWidth="1" min="7" max="7"/>
  </cols>
  <sheetData>
    <row r="1">
      <c r="A1" s="2" t="inlineStr">
        <is>
          <t>% Cumplimiento por Ejecutivo (con atípicos / ajustado)</t>
        </is>
      </c>
    </row>
    <row r="2">
      <c r="A2" s="2" t="inlineStr">
        <is>
          <t>Ejecutivo</t>
        </is>
      </c>
      <c r="B2" s="2" t="inlineStr">
        <is>
          <t>Región</t>
        </is>
      </c>
      <c r="C2" s="2" t="inlineStr">
        <is>
          <t>Meta_Semanal</t>
        </is>
      </c>
      <c r="D2" s="2" t="inlineStr">
        <is>
          <t>Colocado</t>
        </is>
      </c>
      <c r="E2" s="2" t="inlineStr">
        <is>
          <t>% Cumplimiento</t>
        </is>
      </c>
      <c r="F2" s="2" t="inlineStr">
        <is>
          <t>Colocado (ajustado)</t>
        </is>
      </c>
      <c r="G2" s="2" t="inlineStr">
        <is>
          <t>% Cumplimiento (ajustado)</t>
        </is>
      </c>
    </row>
    <row r="3">
      <c r="A3" t="inlineStr">
        <is>
          <t>Raúl Mendoza</t>
        </is>
      </c>
      <c r="B3" t="inlineStr">
        <is>
          <t>Sur</t>
        </is>
      </c>
      <c r="C3" t="n">
        <v>15500000</v>
      </c>
      <c r="D3" t="n">
        <v>19840000</v>
      </c>
      <c r="E3" t="n">
        <v>128</v>
      </c>
      <c r="F3" t="n">
        <v>19840000</v>
      </c>
      <c r="G3" t="n">
        <v>128</v>
      </c>
    </row>
    <row r="4">
      <c r="A4" t="inlineStr">
        <is>
          <t>Ana Ramírez</t>
        </is>
      </c>
      <c r="B4" t="inlineStr">
        <is>
          <t>Norte</t>
        </is>
      </c>
      <c r="C4" t="n">
        <v>4000000</v>
      </c>
      <c r="D4" t="n">
        <v>4710000</v>
      </c>
      <c r="E4" t="n">
        <v>117.8</v>
      </c>
      <c r="F4" t="n">
        <v>4710000</v>
      </c>
      <c r="G4" t="n">
        <v>117.8</v>
      </c>
    </row>
    <row r="5">
      <c r="A5" t="inlineStr">
        <is>
          <t>Carla Núñez</t>
        </is>
      </c>
      <c r="B5" t="inlineStr">
        <is>
          <t>Norte</t>
        </is>
      </c>
      <c r="C5" t="n">
        <v>6100000</v>
      </c>
      <c r="D5" t="n">
        <v>6360000</v>
      </c>
      <c r="E5" t="n">
        <v>104.3</v>
      </c>
      <c r="F5" t="n">
        <v>6360000</v>
      </c>
      <c r="G5" t="n">
        <v>104.3</v>
      </c>
    </row>
    <row r="6">
      <c r="A6" t="inlineStr">
        <is>
          <t>Jorge Vega</t>
        </is>
      </c>
      <c r="B6" t="inlineStr">
        <is>
          <t>Centro</t>
        </is>
      </c>
      <c r="C6" t="n">
        <v>8400000</v>
      </c>
      <c r="D6" t="n">
        <v>8000000</v>
      </c>
      <c r="E6" t="n">
        <v>95.2</v>
      </c>
      <c r="F6" t="n">
        <v>8000000</v>
      </c>
      <c r="G6" t="n">
        <v>95.2</v>
      </c>
    </row>
    <row r="7">
      <c r="A7" t="inlineStr">
        <is>
          <t>Mónica Ibarra</t>
        </is>
      </c>
      <c r="B7" t="inlineStr">
        <is>
          <t>Centro</t>
        </is>
      </c>
      <c r="C7" t="n">
        <v>5300000</v>
      </c>
      <c r="D7" t="n">
        <v>5040000</v>
      </c>
      <c r="E7" t="n">
        <v>95.09999999999999</v>
      </c>
      <c r="F7" t="n">
        <v>5040000</v>
      </c>
      <c r="G7" t="n">
        <v>95.09999999999999</v>
      </c>
    </row>
    <row r="8">
      <c r="A8" t="inlineStr">
        <is>
          <t>Sofía León</t>
        </is>
      </c>
      <c r="B8" t="inlineStr">
        <is>
          <t>Sur</t>
        </is>
      </c>
      <c r="C8" t="n">
        <v>10200000</v>
      </c>
      <c r="D8" t="n">
        <v>9140000</v>
      </c>
      <c r="E8" t="n">
        <v>89.59999999999999</v>
      </c>
      <c r="F8" t="n">
        <v>9140000</v>
      </c>
      <c r="G8" t="n">
        <v>89.59999999999999</v>
      </c>
    </row>
    <row r="9">
      <c r="A9" t="inlineStr">
        <is>
          <t>Luis Herrera</t>
        </is>
      </c>
      <c r="B9" t="inlineStr">
        <is>
          <t>Norte</t>
        </is>
      </c>
      <c r="C9" t="n">
        <v>11000000</v>
      </c>
      <c r="D9" t="n">
        <v>9020000</v>
      </c>
      <c r="E9" t="n">
        <v>82</v>
      </c>
      <c r="F9" t="n">
        <v>9020000</v>
      </c>
      <c r="G9" t="n">
        <v>82</v>
      </c>
    </row>
    <row r="10">
      <c r="A10" t="inlineStr">
        <is>
          <t>Paola Cruz</t>
        </is>
      </c>
      <c r="B10" t="inlineStr">
        <is>
          <t>Sur</t>
        </is>
      </c>
      <c r="C10" t="n">
        <v>10700000</v>
      </c>
      <c r="D10" t="n">
        <v>6440000</v>
      </c>
      <c r="E10" t="n">
        <v>60.2</v>
      </c>
      <c r="F10" t="n">
        <v>7060000</v>
      </c>
      <c r="G10" t="n">
        <v>66</v>
      </c>
    </row>
    <row r="11">
      <c r="A11" t="inlineStr">
        <is>
          <t>Diego Salas</t>
        </is>
      </c>
      <c r="B11" t="inlineStr">
        <is>
          <t>Centro</t>
        </is>
      </c>
      <c r="C11" t="n">
        <v>800000</v>
      </c>
      <c r="D11" t="n">
        <v>85000000</v>
      </c>
      <c r="E11" t="n">
        <v>10625</v>
      </c>
      <c r="F11" t="n">
        <v>0</v>
      </c>
      <c r="G11" t="n">
        <v>0</v>
      </c>
    </row>
    <row r="13">
      <c r="A13" s="2" t="inlineStr">
        <is>
          <t>% Cumplimiento por Región (con atípicos / ajustado)</t>
        </is>
      </c>
    </row>
    <row r="14">
      <c r="A14" s="2" t="inlineStr">
        <is>
          <t>Región</t>
        </is>
      </c>
      <c r="B14" s="2" t="inlineStr">
        <is>
          <t>Meta_Semanal</t>
        </is>
      </c>
      <c r="C14" s="2" t="inlineStr">
        <is>
          <t>Colocado</t>
        </is>
      </c>
      <c r="D14" s="2" t="inlineStr">
        <is>
          <t>Colocado (ajustado)</t>
        </is>
      </c>
      <c r="E14" s="2" t="inlineStr">
        <is>
          <t>% Cumplimiento</t>
        </is>
      </c>
      <c r="F14" s="2" t="inlineStr">
        <is>
          <t>% Cumplimiento (ajustado)</t>
        </is>
      </c>
    </row>
    <row r="15">
      <c r="A15" t="inlineStr">
        <is>
          <t>Centro</t>
        </is>
      </c>
      <c r="B15" t="n">
        <v>14500000</v>
      </c>
      <c r="C15" t="n">
        <v>98580000</v>
      </c>
      <c r="D15" t="n">
        <v>13580000</v>
      </c>
      <c r="E15" t="n">
        <v>679.9</v>
      </c>
      <c r="F15" t="n">
        <v>93.7</v>
      </c>
    </row>
    <row r="16">
      <c r="A16" t="inlineStr">
        <is>
          <t>Norte</t>
        </is>
      </c>
      <c r="B16" t="n">
        <v>21100000</v>
      </c>
      <c r="C16" t="n">
        <v>20090000</v>
      </c>
      <c r="D16" t="n">
        <v>20090000</v>
      </c>
      <c r="E16" t="n">
        <v>95.2</v>
      </c>
      <c r="F16" t="n">
        <v>95.2</v>
      </c>
    </row>
    <row r="17">
      <c r="A17" t="inlineStr">
        <is>
          <t>Sur</t>
        </is>
      </c>
      <c r="B17" t="n">
        <v>36400000</v>
      </c>
      <c r="C17" t="n">
        <v>35420000</v>
      </c>
      <c r="D17" t="n">
        <v>36040000</v>
      </c>
      <c r="E17" t="n">
        <v>97.3</v>
      </c>
      <c r="F17" t="n">
        <v>99</v>
      </c>
    </row>
    <row r="19">
      <c r="A19" s="2" t="inlineStr">
        <is>
          <t>Distribución por Segmento (con atípicos / ajustado)</t>
        </is>
      </c>
    </row>
    <row r="20">
      <c r="A20" s="2" t="inlineStr">
        <is>
          <t>Segmento</t>
        </is>
      </c>
      <c r="B20" s="2" t="inlineStr">
        <is>
          <t>Monto_Colocado</t>
        </is>
      </c>
      <c r="C20" s="2" t="inlineStr">
        <is>
          <t>% del total</t>
        </is>
      </c>
      <c r="D20" s="2" t="inlineStr">
        <is>
          <t>Monto (ajustado)</t>
        </is>
      </c>
      <c r="E20" s="2" t="inlineStr">
        <is>
          <t>% del total (ajustado)</t>
        </is>
      </c>
    </row>
    <row r="21">
      <c r="A21" t="inlineStr">
        <is>
          <t>Empresarial</t>
        </is>
      </c>
      <c r="B21" t="n">
        <v>99640000</v>
      </c>
      <c r="C21" t="n">
        <v>64.7</v>
      </c>
      <c r="D21" t="n">
        <v>14640000</v>
      </c>
      <c r="E21" t="n">
        <v>21</v>
      </c>
    </row>
    <row r="22">
      <c r="A22" t="inlineStr">
        <is>
          <t>Personas</t>
        </is>
      </c>
      <c r="B22" t="n">
        <v>22630000</v>
      </c>
      <c r="C22" t="n">
        <v>14.7</v>
      </c>
      <c r="D22" t="n">
        <v>22630000</v>
      </c>
      <c r="E22" t="n">
        <v>32.5</v>
      </c>
    </row>
    <row r="23">
      <c r="A23" t="inlineStr">
        <is>
          <t>Gobierno</t>
        </is>
      </c>
      <c r="B23" t="n">
        <v>18080000</v>
      </c>
      <c r="C23" t="n">
        <v>11.7</v>
      </c>
      <c r="D23" t="n">
        <v>18080000</v>
      </c>
      <c r="E23" t="n">
        <v>25.9</v>
      </c>
    </row>
    <row r="24">
      <c r="A24" t="inlineStr">
        <is>
          <t>Pyme</t>
        </is>
      </c>
      <c r="B24" t="n">
        <v>13740000</v>
      </c>
      <c r="C24" t="n">
        <v>8.9</v>
      </c>
      <c r="D24" t="n">
        <v>14360000</v>
      </c>
      <c r="E24" t="n">
        <v>20.6</v>
      </c>
    </row>
    <row r="26">
      <c r="A26" s="2" t="inlineStr">
        <is>
          <t>2 hallazgos relevantes (generado por IA local)</t>
        </is>
      </c>
    </row>
    <row r="27">
      <c r="A27" s="3" t="inlineStr">
        <is>
          <t>**Hallazgo 1:** La región Sur ha experimentado un aumento significativo en su % Cumplimiento (ajustado) al pasar del 89.6% con atípicos al 99.0% sin considerar las operaciones atípicas. Esto sugiere que la región Sur ha mejorado sustancialmente su desempeño en comparación con los datos incompletos.
**Hallazgo 2:** El segmento de Personas ha experimentado un cambio notable en su % del total (ajustado), aumentando del 14.7% al 32.5%. Esto podría indicar una mayor demanda o interés por la colocación de préstamos a personas, lo que podría ser una oportunidad para el banco explorar y aprovechar este segmento con más intensidad.</t>
        </is>
      </c>
    </row>
    <row r="29">
      <c r="A29" s="2" t="inlineStr">
        <is>
          <t>Verificación automática</t>
        </is>
      </c>
    </row>
    <row r="30">
      <c r="A30" s="3" t="inlineStr">
        <is>
          <t>✅ Verificación automática: los porcentajes y montos citados coinciden con las tablas calculadas.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2026-08-13T10:56:20Z</dcterms:created>
  <dcterms:modified xmlns:dcterms="http://purl.org/dc/terms/" xmlns:xsi="http://www.w3.org/2001/XMLSchema-instance" xsi:type="dcterms:W3CDTF">2026-08-13T10:57:02Z</dcterms:modified>
</cp:coreProperties>
</file>